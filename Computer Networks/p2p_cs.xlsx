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<sst xmlns="http://schemas.openxmlformats.org/spreadsheetml/2006/main" count="11" uniqueCount="11">
  <si>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u_s</t>
  </si>
  <si>
    <t>F</t>
  </si>
  <si>
    <t>d</t>
  </si>
  <si>
    <t>u</t>
  </si>
  <si>
    <t>N</t>
  </si>
  <si>
    <t>F/d</t>
  </si>
  <si>
    <t>NF/us</t>
  </si>
  <si>
    <t>F/us</t>
  </si>
  <si>
    <t>NF/Nu+ys</t>
  </si>
  <si>
    <t>Server Only</t>
  </si>
  <si>
    <t>P2P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</si>
</sst>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Server Only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Sheet1!$C$12:$C$43</c:f>
            </c:strRef>
          </c:cat>
          <c:val>
            <c:numRef>
              <c:f>Sheet1!$H$12:$H$43</c:f>
              <c:numCache/>
            </c:numRef>
          </c:val>
          <c:smooth val="0"/>
        </c:ser>
        <c:ser>
          <c:idx val="1"/>
          <c:order val="1"/>
          <c:tx>
            <c:v>P2P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Sheet1!$C$12:$C$43</c:f>
            </c:strRef>
          </c:cat>
          <c:val>
            <c:numRef>
              <c:f>Sheet1!$I$12:$I$43</c:f>
              <c:numCache/>
            </c:numRef>
          </c:val>
          <c:smooth val="0"/>
        </c:ser>
        <c:axId val="1831765687"/>
        <c:axId val="1287554426"/>
      </c:lineChart>
      <c:catAx>
        <c:axId val="1831765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7554426"/>
      </c:catAx>
      <c:valAx>
        <c:axId val="128755442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17656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561975</xdr:colOff>
      <xdr:row>12</xdr:row>
      <xdr:rowOff>0</xdr:rowOff>
    </xdr:from>
    <xdr:ext cx="11620500" cy="5305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>
        <v>10.0</v>
      </c>
    </row>
    <row r="5" ht="15.75" customHeight="1">
      <c r="C5" s="1" t="s">
        <v>1</v>
      </c>
      <c r="D5" s="1">
        <v>200.0</v>
      </c>
    </row>
    <row r="6" ht="15.75" customHeight="1">
      <c r="C6" s="1" t="s">
        <v>2</v>
      </c>
      <c r="D6" s="1">
        <v>2.0</v>
      </c>
    </row>
    <row r="7" ht="15.75" customHeight="1">
      <c r="C7" s="1" t="s">
        <v>3</v>
      </c>
      <c r="D7" s="1">
        <v>1.0</v>
      </c>
    </row>
    <row r="8" ht="15.75" customHeight="1"/>
    <row r="9" ht="15.75" customHeight="1"/>
    <row r="10" ht="15.75" customHeight="1"/>
    <row r="11" ht="15.75" customHeight="1">
      <c r="C11" s="2" t="s">
        <v>4</v>
      </c>
      <c r="D11" s="2" t="s">
        <v>5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10</v>
      </c>
    </row>
    <row r="12" ht="15.75" customHeight="1">
      <c r="C12" s="2">
        <v>1.0</v>
      </c>
      <c r="D12" s="2">
        <f t="shared" ref="D12:D43" si="1">$D$5/$D$6</f>
        <v>100</v>
      </c>
      <c r="E12" s="2">
        <f t="shared" ref="E12:E43" si="2">C12*$D$5/$D$4</f>
        <v>20</v>
      </c>
      <c r="F12" s="2">
        <f t="shared" ref="F12:F43" si="3">$D$5/$D$4</f>
        <v>20</v>
      </c>
      <c r="G12" s="2">
        <f t="shared" ref="G12:G43" si="4">$D$5/($D$7+$D$4/C12)</f>
        <v>18.18181818</v>
      </c>
      <c r="H12" s="2">
        <f t="shared" ref="H12:H43" si="5">MAX(D12,E12)</f>
        <v>100</v>
      </c>
      <c r="I12" s="2">
        <f t="shared" ref="I12:I43" si="6">MAX(G12,F12,D12)</f>
        <v>100</v>
      </c>
    </row>
    <row r="13" ht="15.75" customHeight="1">
      <c r="C13" s="2">
        <v>2.0</v>
      </c>
      <c r="D13" s="2">
        <f t="shared" si="1"/>
        <v>100</v>
      </c>
      <c r="E13" s="2">
        <f t="shared" si="2"/>
        <v>40</v>
      </c>
      <c r="F13" s="2">
        <f t="shared" si="3"/>
        <v>20</v>
      </c>
      <c r="G13" s="2">
        <f t="shared" si="4"/>
        <v>33.33333333</v>
      </c>
      <c r="H13" s="2">
        <f t="shared" si="5"/>
        <v>100</v>
      </c>
      <c r="I13" s="2">
        <f t="shared" si="6"/>
        <v>100</v>
      </c>
    </row>
    <row r="14" ht="15.75" customHeight="1">
      <c r="C14" s="2">
        <v>3.0</v>
      </c>
      <c r="D14" s="2">
        <f t="shared" si="1"/>
        <v>100</v>
      </c>
      <c r="E14" s="2">
        <f t="shared" si="2"/>
        <v>60</v>
      </c>
      <c r="F14" s="2">
        <f t="shared" si="3"/>
        <v>20</v>
      </c>
      <c r="G14" s="2">
        <f t="shared" si="4"/>
        <v>46.15384615</v>
      </c>
      <c r="H14" s="2">
        <f t="shared" si="5"/>
        <v>100</v>
      </c>
      <c r="I14" s="2">
        <f t="shared" si="6"/>
        <v>100</v>
      </c>
    </row>
    <row r="15" ht="15.75" customHeight="1">
      <c r="C15" s="2">
        <v>4.0</v>
      </c>
      <c r="D15" s="2">
        <f t="shared" si="1"/>
        <v>100</v>
      </c>
      <c r="E15" s="2">
        <f t="shared" si="2"/>
        <v>80</v>
      </c>
      <c r="F15" s="2">
        <f t="shared" si="3"/>
        <v>20</v>
      </c>
      <c r="G15" s="2">
        <f t="shared" si="4"/>
        <v>57.14285714</v>
      </c>
      <c r="H15" s="2">
        <f t="shared" si="5"/>
        <v>100</v>
      </c>
      <c r="I15" s="2">
        <f t="shared" si="6"/>
        <v>100</v>
      </c>
    </row>
    <row r="16" ht="15.75" customHeight="1">
      <c r="C16" s="2">
        <v>5.0</v>
      </c>
      <c r="D16" s="2">
        <f t="shared" si="1"/>
        <v>100</v>
      </c>
      <c r="E16" s="2">
        <f t="shared" si="2"/>
        <v>100</v>
      </c>
      <c r="F16" s="2">
        <f t="shared" si="3"/>
        <v>20</v>
      </c>
      <c r="G16" s="2">
        <f t="shared" si="4"/>
        <v>66.66666667</v>
      </c>
      <c r="H16" s="2">
        <f t="shared" si="5"/>
        <v>100</v>
      </c>
      <c r="I16" s="2">
        <f t="shared" si="6"/>
        <v>100</v>
      </c>
    </row>
    <row r="17" ht="15.75" customHeight="1">
      <c r="C17" s="2">
        <f t="shared" ref="C17:C43" si="7">C16+1</f>
        <v>6</v>
      </c>
      <c r="D17" s="2">
        <f t="shared" si="1"/>
        <v>100</v>
      </c>
      <c r="E17" s="2">
        <f t="shared" si="2"/>
        <v>120</v>
      </c>
      <c r="F17" s="2">
        <f t="shared" si="3"/>
        <v>20</v>
      </c>
      <c r="G17" s="2">
        <f t="shared" si="4"/>
        <v>75</v>
      </c>
      <c r="H17" s="2">
        <f t="shared" si="5"/>
        <v>120</v>
      </c>
      <c r="I17" s="2">
        <f t="shared" si="6"/>
        <v>100</v>
      </c>
    </row>
    <row r="18" ht="15.75" customHeight="1">
      <c r="C18" s="2">
        <f t="shared" si="7"/>
        <v>7</v>
      </c>
      <c r="D18" s="2">
        <f t="shared" si="1"/>
        <v>100</v>
      </c>
      <c r="E18" s="2">
        <f t="shared" si="2"/>
        <v>140</v>
      </c>
      <c r="F18" s="2">
        <f t="shared" si="3"/>
        <v>20</v>
      </c>
      <c r="G18" s="2">
        <f t="shared" si="4"/>
        <v>82.35294118</v>
      </c>
      <c r="H18" s="2">
        <f t="shared" si="5"/>
        <v>140</v>
      </c>
      <c r="I18" s="2">
        <f t="shared" si="6"/>
        <v>100</v>
      </c>
    </row>
    <row r="19" ht="15.75" customHeight="1">
      <c r="C19" s="2">
        <f t="shared" si="7"/>
        <v>8</v>
      </c>
      <c r="D19" s="2">
        <f t="shared" si="1"/>
        <v>100</v>
      </c>
      <c r="E19" s="2">
        <f t="shared" si="2"/>
        <v>160</v>
      </c>
      <c r="F19" s="2">
        <f t="shared" si="3"/>
        <v>20</v>
      </c>
      <c r="G19" s="2">
        <f t="shared" si="4"/>
        <v>88.88888889</v>
      </c>
      <c r="H19" s="2">
        <f t="shared" si="5"/>
        <v>160</v>
      </c>
      <c r="I19" s="2">
        <f t="shared" si="6"/>
        <v>100</v>
      </c>
    </row>
    <row r="20" ht="15.75" customHeight="1">
      <c r="C20" s="2">
        <f t="shared" si="7"/>
        <v>9</v>
      </c>
      <c r="D20" s="2">
        <f t="shared" si="1"/>
        <v>100</v>
      </c>
      <c r="E20" s="2">
        <f t="shared" si="2"/>
        <v>180</v>
      </c>
      <c r="F20" s="2">
        <f t="shared" si="3"/>
        <v>20</v>
      </c>
      <c r="G20" s="2">
        <f t="shared" si="4"/>
        <v>94.73684211</v>
      </c>
      <c r="H20" s="2">
        <f t="shared" si="5"/>
        <v>180</v>
      </c>
      <c r="I20" s="2">
        <f t="shared" si="6"/>
        <v>100</v>
      </c>
    </row>
    <row r="21" ht="15.75" customHeight="1">
      <c r="C21" s="2">
        <f t="shared" si="7"/>
        <v>10</v>
      </c>
      <c r="D21" s="2">
        <f t="shared" si="1"/>
        <v>100</v>
      </c>
      <c r="E21" s="2">
        <f t="shared" si="2"/>
        <v>200</v>
      </c>
      <c r="F21" s="2">
        <f t="shared" si="3"/>
        <v>20</v>
      </c>
      <c r="G21" s="2">
        <f t="shared" si="4"/>
        <v>100</v>
      </c>
      <c r="H21" s="2">
        <f t="shared" si="5"/>
        <v>200</v>
      </c>
      <c r="I21" s="2">
        <f t="shared" si="6"/>
        <v>100</v>
      </c>
    </row>
    <row r="22" ht="15.75" customHeight="1">
      <c r="C22" s="2">
        <f t="shared" si="7"/>
        <v>11</v>
      </c>
      <c r="D22" s="2">
        <f t="shared" si="1"/>
        <v>100</v>
      </c>
      <c r="E22" s="2">
        <f t="shared" si="2"/>
        <v>220</v>
      </c>
      <c r="F22" s="2">
        <f t="shared" si="3"/>
        <v>20</v>
      </c>
      <c r="G22" s="2">
        <f t="shared" si="4"/>
        <v>104.7619048</v>
      </c>
      <c r="H22" s="2">
        <f t="shared" si="5"/>
        <v>220</v>
      </c>
      <c r="I22" s="2">
        <f t="shared" si="6"/>
        <v>104.7619048</v>
      </c>
    </row>
    <row r="23" ht="15.75" customHeight="1">
      <c r="C23" s="2">
        <f t="shared" si="7"/>
        <v>12</v>
      </c>
      <c r="D23" s="2">
        <f t="shared" si="1"/>
        <v>100</v>
      </c>
      <c r="E23" s="2">
        <f t="shared" si="2"/>
        <v>240</v>
      </c>
      <c r="F23" s="2">
        <f t="shared" si="3"/>
        <v>20</v>
      </c>
      <c r="G23" s="2">
        <f t="shared" si="4"/>
        <v>109.0909091</v>
      </c>
      <c r="H23" s="2">
        <f t="shared" si="5"/>
        <v>240</v>
      </c>
      <c r="I23" s="2">
        <f t="shared" si="6"/>
        <v>109.0909091</v>
      </c>
    </row>
    <row r="24" ht="15.75" customHeight="1">
      <c r="C24" s="2">
        <f t="shared" si="7"/>
        <v>13</v>
      </c>
      <c r="D24" s="2">
        <f t="shared" si="1"/>
        <v>100</v>
      </c>
      <c r="E24" s="2">
        <f t="shared" si="2"/>
        <v>260</v>
      </c>
      <c r="F24" s="2">
        <f t="shared" si="3"/>
        <v>20</v>
      </c>
      <c r="G24" s="2">
        <f t="shared" si="4"/>
        <v>113.0434783</v>
      </c>
      <c r="H24" s="2">
        <f t="shared" si="5"/>
        <v>260</v>
      </c>
      <c r="I24" s="2">
        <f t="shared" si="6"/>
        <v>113.0434783</v>
      </c>
    </row>
    <row r="25" ht="15.75" customHeight="1">
      <c r="C25" s="2">
        <f t="shared" si="7"/>
        <v>14</v>
      </c>
      <c r="D25" s="2">
        <f t="shared" si="1"/>
        <v>100</v>
      </c>
      <c r="E25" s="2">
        <f t="shared" si="2"/>
        <v>280</v>
      </c>
      <c r="F25" s="2">
        <f t="shared" si="3"/>
        <v>20</v>
      </c>
      <c r="G25" s="2">
        <f t="shared" si="4"/>
        <v>116.6666667</v>
      </c>
      <c r="H25" s="2">
        <f t="shared" si="5"/>
        <v>280</v>
      </c>
      <c r="I25" s="2">
        <f t="shared" si="6"/>
        <v>116.6666667</v>
      </c>
    </row>
    <row r="26" ht="15.75" customHeight="1">
      <c r="C26" s="2">
        <f t="shared" si="7"/>
        <v>15</v>
      </c>
      <c r="D26" s="2">
        <f t="shared" si="1"/>
        <v>100</v>
      </c>
      <c r="E26" s="2">
        <f t="shared" si="2"/>
        <v>300</v>
      </c>
      <c r="F26" s="2">
        <f t="shared" si="3"/>
        <v>20</v>
      </c>
      <c r="G26" s="2">
        <f t="shared" si="4"/>
        <v>120</v>
      </c>
      <c r="H26" s="2">
        <f t="shared" si="5"/>
        <v>300</v>
      </c>
      <c r="I26" s="2">
        <f t="shared" si="6"/>
        <v>120</v>
      </c>
    </row>
    <row r="27" ht="15.75" customHeight="1">
      <c r="C27" s="2">
        <f t="shared" si="7"/>
        <v>16</v>
      </c>
      <c r="D27" s="2">
        <f t="shared" si="1"/>
        <v>100</v>
      </c>
      <c r="E27" s="2">
        <f t="shared" si="2"/>
        <v>320</v>
      </c>
      <c r="F27" s="2">
        <f t="shared" si="3"/>
        <v>20</v>
      </c>
      <c r="G27" s="2">
        <f t="shared" si="4"/>
        <v>123.0769231</v>
      </c>
      <c r="H27" s="2">
        <f t="shared" si="5"/>
        <v>320</v>
      </c>
      <c r="I27" s="2">
        <f t="shared" si="6"/>
        <v>123.0769231</v>
      </c>
    </row>
    <row r="28" ht="15.75" customHeight="1">
      <c r="C28" s="2">
        <f t="shared" si="7"/>
        <v>17</v>
      </c>
      <c r="D28" s="2">
        <f t="shared" si="1"/>
        <v>100</v>
      </c>
      <c r="E28" s="2">
        <f t="shared" si="2"/>
        <v>340</v>
      </c>
      <c r="F28" s="2">
        <f t="shared" si="3"/>
        <v>20</v>
      </c>
      <c r="G28" s="2">
        <f t="shared" si="4"/>
        <v>125.9259259</v>
      </c>
      <c r="H28" s="2">
        <f t="shared" si="5"/>
        <v>340</v>
      </c>
      <c r="I28" s="2">
        <f t="shared" si="6"/>
        <v>125.9259259</v>
      </c>
    </row>
    <row r="29" ht="15.75" customHeight="1">
      <c r="C29" s="2">
        <f t="shared" si="7"/>
        <v>18</v>
      </c>
      <c r="D29" s="2">
        <f t="shared" si="1"/>
        <v>100</v>
      </c>
      <c r="E29" s="2">
        <f t="shared" si="2"/>
        <v>360</v>
      </c>
      <c r="F29" s="2">
        <f t="shared" si="3"/>
        <v>20</v>
      </c>
      <c r="G29" s="2">
        <f t="shared" si="4"/>
        <v>128.5714286</v>
      </c>
      <c r="H29" s="2">
        <f t="shared" si="5"/>
        <v>360</v>
      </c>
      <c r="I29" s="2">
        <f t="shared" si="6"/>
        <v>128.5714286</v>
      </c>
    </row>
    <row r="30" ht="15.75" customHeight="1">
      <c r="C30" s="2">
        <f t="shared" si="7"/>
        <v>19</v>
      </c>
      <c r="D30" s="2">
        <f t="shared" si="1"/>
        <v>100</v>
      </c>
      <c r="E30" s="2">
        <f t="shared" si="2"/>
        <v>380</v>
      </c>
      <c r="F30" s="2">
        <f t="shared" si="3"/>
        <v>20</v>
      </c>
      <c r="G30" s="2">
        <f t="shared" si="4"/>
        <v>131.0344828</v>
      </c>
      <c r="H30" s="2">
        <f t="shared" si="5"/>
        <v>380</v>
      </c>
      <c r="I30" s="2">
        <f t="shared" si="6"/>
        <v>131.0344828</v>
      </c>
    </row>
    <row r="31" ht="15.75" customHeight="1">
      <c r="C31" s="2">
        <f t="shared" si="7"/>
        <v>20</v>
      </c>
      <c r="D31" s="2">
        <f t="shared" si="1"/>
        <v>100</v>
      </c>
      <c r="E31" s="2">
        <f t="shared" si="2"/>
        <v>400</v>
      </c>
      <c r="F31" s="2">
        <f t="shared" si="3"/>
        <v>20</v>
      </c>
      <c r="G31" s="2">
        <f t="shared" si="4"/>
        <v>133.3333333</v>
      </c>
      <c r="H31" s="2">
        <f t="shared" si="5"/>
        <v>400</v>
      </c>
      <c r="I31" s="2">
        <f t="shared" si="6"/>
        <v>133.3333333</v>
      </c>
    </row>
    <row r="32" ht="15.75" customHeight="1">
      <c r="C32" s="2">
        <f t="shared" si="7"/>
        <v>21</v>
      </c>
      <c r="D32" s="2">
        <f t="shared" si="1"/>
        <v>100</v>
      </c>
      <c r="E32" s="2">
        <f t="shared" si="2"/>
        <v>420</v>
      </c>
      <c r="F32" s="2">
        <f t="shared" si="3"/>
        <v>20</v>
      </c>
      <c r="G32" s="2">
        <f t="shared" si="4"/>
        <v>135.483871</v>
      </c>
      <c r="H32" s="2">
        <f t="shared" si="5"/>
        <v>420</v>
      </c>
      <c r="I32" s="2">
        <f t="shared" si="6"/>
        <v>135.483871</v>
      </c>
    </row>
    <row r="33" ht="15.75" customHeight="1">
      <c r="C33" s="2">
        <f t="shared" si="7"/>
        <v>22</v>
      </c>
      <c r="D33" s="2">
        <f t="shared" si="1"/>
        <v>100</v>
      </c>
      <c r="E33" s="2">
        <f t="shared" si="2"/>
        <v>440</v>
      </c>
      <c r="F33" s="2">
        <f t="shared" si="3"/>
        <v>20</v>
      </c>
      <c r="G33" s="2">
        <f t="shared" si="4"/>
        <v>137.5</v>
      </c>
      <c r="H33" s="2">
        <f t="shared" si="5"/>
        <v>440</v>
      </c>
      <c r="I33" s="2">
        <f t="shared" si="6"/>
        <v>137.5</v>
      </c>
    </row>
    <row r="34" ht="15.75" customHeight="1">
      <c r="C34" s="2">
        <f t="shared" si="7"/>
        <v>23</v>
      </c>
      <c r="D34" s="2">
        <f t="shared" si="1"/>
        <v>100</v>
      </c>
      <c r="E34" s="2">
        <f t="shared" si="2"/>
        <v>460</v>
      </c>
      <c r="F34" s="2">
        <f t="shared" si="3"/>
        <v>20</v>
      </c>
      <c r="G34" s="2">
        <f t="shared" si="4"/>
        <v>139.3939394</v>
      </c>
      <c r="H34" s="2">
        <f t="shared" si="5"/>
        <v>460</v>
      </c>
      <c r="I34" s="2">
        <f t="shared" si="6"/>
        <v>139.3939394</v>
      </c>
    </row>
    <row r="35" ht="15.75" customHeight="1">
      <c r="C35" s="2">
        <f t="shared" si="7"/>
        <v>24</v>
      </c>
      <c r="D35" s="2">
        <f t="shared" si="1"/>
        <v>100</v>
      </c>
      <c r="E35" s="2">
        <f t="shared" si="2"/>
        <v>480</v>
      </c>
      <c r="F35" s="2">
        <f t="shared" si="3"/>
        <v>20</v>
      </c>
      <c r="G35" s="2">
        <f t="shared" si="4"/>
        <v>141.1764706</v>
      </c>
      <c r="H35" s="2">
        <f t="shared" si="5"/>
        <v>480</v>
      </c>
      <c r="I35" s="2">
        <f t="shared" si="6"/>
        <v>141.1764706</v>
      </c>
    </row>
    <row r="36" ht="15.75" customHeight="1">
      <c r="C36" s="2">
        <f t="shared" si="7"/>
        <v>25</v>
      </c>
      <c r="D36" s="2">
        <f t="shared" si="1"/>
        <v>100</v>
      </c>
      <c r="E36" s="2">
        <f t="shared" si="2"/>
        <v>500</v>
      </c>
      <c r="F36" s="2">
        <f t="shared" si="3"/>
        <v>20</v>
      </c>
      <c r="G36" s="2">
        <f t="shared" si="4"/>
        <v>142.8571429</v>
      </c>
      <c r="H36" s="2">
        <f t="shared" si="5"/>
        <v>500</v>
      </c>
      <c r="I36" s="2">
        <f t="shared" si="6"/>
        <v>142.8571429</v>
      </c>
    </row>
    <row r="37" ht="15.75" customHeight="1">
      <c r="C37" s="2">
        <f t="shared" si="7"/>
        <v>26</v>
      </c>
      <c r="D37" s="2">
        <f t="shared" si="1"/>
        <v>100</v>
      </c>
      <c r="E37" s="2">
        <f t="shared" si="2"/>
        <v>520</v>
      </c>
      <c r="F37" s="2">
        <f t="shared" si="3"/>
        <v>20</v>
      </c>
      <c r="G37" s="2">
        <f t="shared" si="4"/>
        <v>144.4444444</v>
      </c>
      <c r="H37" s="2">
        <f t="shared" si="5"/>
        <v>520</v>
      </c>
      <c r="I37" s="2">
        <f t="shared" si="6"/>
        <v>144.4444444</v>
      </c>
    </row>
    <row r="38" ht="15.75" customHeight="1">
      <c r="C38" s="2">
        <f t="shared" si="7"/>
        <v>27</v>
      </c>
      <c r="D38" s="2">
        <f t="shared" si="1"/>
        <v>100</v>
      </c>
      <c r="E38" s="2">
        <f t="shared" si="2"/>
        <v>540</v>
      </c>
      <c r="F38" s="2">
        <f t="shared" si="3"/>
        <v>20</v>
      </c>
      <c r="G38" s="2">
        <f t="shared" si="4"/>
        <v>145.9459459</v>
      </c>
      <c r="H38" s="2">
        <f t="shared" si="5"/>
        <v>540</v>
      </c>
      <c r="I38" s="2">
        <f t="shared" si="6"/>
        <v>145.9459459</v>
      </c>
    </row>
    <row r="39" ht="15.75" customHeight="1">
      <c r="C39" s="2">
        <f t="shared" si="7"/>
        <v>28</v>
      </c>
      <c r="D39" s="2">
        <f t="shared" si="1"/>
        <v>100</v>
      </c>
      <c r="E39" s="2">
        <f t="shared" si="2"/>
        <v>560</v>
      </c>
      <c r="F39" s="2">
        <f t="shared" si="3"/>
        <v>20</v>
      </c>
      <c r="G39" s="2">
        <f t="shared" si="4"/>
        <v>147.3684211</v>
      </c>
      <c r="H39" s="2">
        <f t="shared" si="5"/>
        <v>560</v>
      </c>
      <c r="I39" s="2">
        <f t="shared" si="6"/>
        <v>147.3684211</v>
      </c>
    </row>
    <row r="40" ht="15.75" customHeight="1">
      <c r="C40" s="2">
        <f t="shared" si="7"/>
        <v>29</v>
      </c>
      <c r="D40" s="2">
        <f t="shared" si="1"/>
        <v>100</v>
      </c>
      <c r="E40" s="2">
        <f t="shared" si="2"/>
        <v>580</v>
      </c>
      <c r="F40" s="2">
        <f t="shared" si="3"/>
        <v>20</v>
      </c>
      <c r="G40" s="2">
        <f t="shared" si="4"/>
        <v>148.7179487</v>
      </c>
      <c r="H40" s="2">
        <f t="shared" si="5"/>
        <v>580</v>
      </c>
      <c r="I40" s="2">
        <f t="shared" si="6"/>
        <v>148.7179487</v>
      </c>
    </row>
    <row r="41" ht="15.75" customHeight="1">
      <c r="C41" s="2">
        <f t="shared" si="7"/>
        <v>30</v>
      </c>
      <c r="D41" s="2">
        <f t="shared" si="1"/>
        <v>100</v>
      </c>
      <c r="E41" s="2">
        <f t="shared" si="2"/>
        <v>600</v>
      </c>
      <c r="F41" s="2">
        <f t="shared" si="3"/>
        <v>20</v>
      </c>
      <c r="G41" s="2">
        <f t="shared" si="4"/>
        <v>150</v>
      </c>
      <c r="H41" s="2">
        <f t="shared" si="5"/>
        <v>600</v>
      </c>
      <c r="I41" s="2">
        <f t="shared" si="6"/>
        <v>150</v>
      </c>
    </row>
    <row r="42" ht="15.75" customHeight="1">
      <c r="C42" s="2">
        <f t="shared" si="7"/>
        <v>31</v>
      </c>
      <c r="D42" s="2">
        <f t="shared" si="1"/>
        <v>100</v>
      </c>
      <c r="E42" s="2">
        <f t="shared" si="2"/>
        <v>620</v>
      </c>
      <c r="F42" s="2">
        <f t="shared" si="3"/>
        <v>20</v>
      </c>
      <c r="G42" s="2">
        <f t="shared" si="4"/>
        <v>151.2195122</v>
      </c>
      <c r="H42" s="2">
        <f t="shared" si="5"/>
        <v>620</v>
      </c>
      <c r="I42" s="2">
        <f t="shared" si="6"/>
        <v>151.2195122</v>
      </c>
    </row>
    <row r="43" ht="15.75" customHeight="1">
      <c r="C43" s="2">
        <f t="shared" si="7"/>
        <v>32</v>
      </c>
      <c r="D43" s="2">
        <f t="shared" si="1"/>
        <v>100</v>
      </c>
      <c r="E43" s="2">
        <f t="shared" si="2"/>
        <v>640</v>
      </c>
      <c r="F43" s="2">
        <f t="shared" si="3"/>
        <v>20</v>
      </c>
      <c r="G43" s="2">
        <f t="shared" si="4"/>
        <v>152.3809524</v>
      </c>
      <c r="H43" s="2">
        <f t="shared" si="5"/>
        <v>640</v>
      </c>
      <c r="I43" s="2">
        <f t="shared" si="6"/>
        <v>152.3809524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