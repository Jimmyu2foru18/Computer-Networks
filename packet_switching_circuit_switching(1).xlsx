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diagram" sheetId="3" r:id="rId6"/>
  </sheets>
  <definedNames/>
  <calcPr/>
</workbook>
</file>

<file path=xl/sharedStrings.xml><?xml version="1.0" encoding="utf-8"?>
<sst xmlns="http://schemas.openxmlformats.org/spreadsheetml/2006/main" count="10" uniqueCount="9">
  <si>
    <t>n</t>
  </si>
  <si>
    <t>I active user</t>
  </si>
  <si>
    <t>n chose i</t>
  </si>
  <si>
    <t>prob of sending</t>
  </si>
  <si>
    <t>prob of not sending</t>
  </si>
  <si>
    <t>probability of having I active user</t>
  </si>
  <si>
    <t>probabilty of having at least I user</t>
  </si>
  <si>
    <t>p</t>
  </si>
  <si>
    <t>prob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</si>
</sst>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rgb="FFFF000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3" numFmtId="11" xfId="0" applyBorder="1" applyFont="1" applyNumberForma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prob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diagram!$E$9:$K$9</c:f>
            </c:strRef>
          </c:cat>
          <c:val>
            <c:numRef>
              <c:f>diagram!$E$10:$L$10</c:f>
              <c:numCache/>
            </c:numRef>
          </c:val>
          <c:smooth val="0"/>
        </c:ser>
        <c:axId val="509517956"/>
        <c:axId val="1419065196"/>
      </c:lineChart>
      <c:catAx>
        <c:axId val="509517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9065196"/>
      </c:catAx>
      <c:valAx>
        <c:axId val="1419065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95179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11</xdr:row>
      <xdr:rowOff>171450</xdr:rowOff>
    </xdr:from>
    <xdr:ext cx="5153025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4.11"/>
    <col customWidth="1" min="3" max="3" width="5.11"/>
    <col customWidth="1" min="4" max="5" width="11.0"/>
    <col customWidth="1" min="6" max="6" width="7.44"/>
    <col customWidth="1" min="7" max="9" width="11.0"/>
    <col customWidth="1" min="10" max="10" width="27.67"/>
    <col customWidth="1" min="11" max="11" width="23.89"/>
    <col customWidth="1" min="12" max="26" width="11.0"/>
  </cols>
  <sheetData>
    <row r="1" ht="15.75" customHeight="1">
      <c r="J1" s="1"/>
    </row>
    <row r="2" ht="15.75" customHeight="1">
      <c r="J2" s="1"/>
    </row>
    <row r="3" ht="15.75" customHeight="1">
      <c r="B3" s="2" t="s">
        <v>0</v>
      </c>
      <c r="C3" s="2">
        <v>45.0</v>
      </c>
      <c r="F3" s="3" t="s">
        <v>1</v>
      </c>
      <c r="G3" s="3" t="s">
        <v>2</v>
      </c>
      <c r="H3" s="3" t="s">
        <v>3</v>
      </c>
      <c r="I3" s="3" t="s">
        <v>4</v>
      </c>
      <c r="J3" s="4" t="s">
        <v>5</v>
      </c>
      <c r="K3" s="3" t="s">
        <v>6</v>
      </c>
    </row>
    <row r="4" ht="15.75" customHeight="1">
      <c r="B4" s="2" t="s">
        <v>7</v>
      </c>
      <c r="C4" s="2">
        <v>0.1</v>
      </c>
      <c r="F4" s="3">
        <v>0.0</v>
      </c>
      <c r="G4" s="3">
        <f t="shared" ref="G4:G61" si="1">COMBIN($C$3,F4)</f>
        <v>1</v>
      </c>
      <c r="H4" s="3">
        <f t="shared" ref="H4:H61" si="2">POWER($C$4,F4)</f>
        <v>1</v>
      </c>
      <c r="I4" s="3">
        <f t="shared" ref="I4:I61" si="3">POWER((1-$C$4),($C$3-F4))</f>
        <v>0.008727963568</v>
      </c>
      <c r="J4" s="4">
        <f t="shared" ref="J4:J61" si="4">I4*H4*G4</f>
        <v>0.008727963568</v>
      </c>
      <c r="K4" s="3">
        <v>1.0</v>
      </c>
    </row>
    <row r="5" ht="15.75" customHeight="1">
      <c r="F5" s="3">
        <v>1.0</v>
      </c>
      <c r="G5" s="3">
        <f t="shared" si="1"/>
        <v>45</v>
      </c>
      <c r="H5" s="3">
        <f t="shared" si="2"/>
        <v>0.1</v>
      </c>
      <c r="I5" s="3">
        <f t="shared" si="3"/>
        <v>0.009697737298</v>
      </c>
      <c r="J5" s="4">
        <f t="shared" si="4"/>
        <v>0.04363981784</v>
      </c>
      <c r="K5" s="3">
        <f>1-SUM(J4)</f>
        <v>0.9912720364</v>
      </c>
    </row>
    <row r="6" ht="15.75" customHeight="1">
      <c r="F6" s="3">
        <v>2.0</v>
      </c>
      <c r="G6" s="3">
        <f t="shared" si="1"/>
        <v>990</v>
      </c>
      <c r="H6" s="3">
        <f t="shared" si="2"/>
        <v>0.01</v>
      </c>
      <c r="I6" s="3">
        <f t="shared" si="3"/>
        <v>0.01077526366</v>
      </c>
      <c r="J6" s="4">
        <f t="shared" si="4"/>
        <v>0.1066751103</v>
      </c>
      <c r="K6" s="3">
        <f t="shared" ref="K6:K61" si="5">1-SUM($J$4:J5)</f>
        <v>0.9476322186</v>
      </c>
    </row>
    <row r="7" ht="15.75" customHeight="1">
      <c r="F7" s="3">
        <f t="shared" ref="F7:F61" si="6">F6+1</f>
        <v>3</v>
      </c>
      <c r="G7" s="3">
        <f t="shared" si="1"/>
        <v>14190</v>
      </c>
      <c r="H7" s="3">
        <f t="shared" si="2"/>
        <v>0.001</v>
      </c>
      <c r="I7" s="3">
        <f t="shared" si="3"/>
        <v>0.01197251518</v>
      </c>
      <c r="J7" s="4">
        <f t="shared" si="4"/>
        <v>0.1698899904</v>
      </c>
      <c r="K7" s="3">
        <f t="shared" si="5"/>
        <v>0.8409571083</v>
      </c>
    </row>
    <row r="8" ht="15.75" customHeight="1">
      <c r="F8" s="3">
        <f t="shared" si="6"/>
        <v>4</v>
      </c>
      <c r="G8" s="3">
        <f t="shared" si="1"/>
        <v>148995</v>
      </c>
      <c r="H8" s="3">
        <f t="shared" si="2"/>
        <v>0.0001</v>
      </c>
      <c r="I8" s="3">
        <f t="shared" si="3"/>
        <v>0.01330279465</v>
      </c>
      <c r="J8" s="4">
        <f t="shared" si="4"/>
        <v>0.1982049888</v>
      </c>
      <c r="K8" s="3">
        <f t="shared" si="5"/>
        <v>0.6710671179</v>
      </c>
    </row>
    <row r="9" ht="15.75" customHeight="1">
      <c r="F9" s="3">
        <f t="shared" si="6"/>
        <v>5</v>
      </c>
      <c r="G9" s="3">
        <f t="shared" si="1"/>
        <v>1221759</v>
      </c>
      <c r="H9" s="3">
        <f t="shared" si="2"/>
        <v>0.00001</v>
      </c>
      <c r="I9" s="3">
        <f t="shared" si="3"/>
        <v>0.01478088294</v>
      </c>
      <c r="J9" s="4">
        <f t="shared" si="4"/>
        <v>0.1805867676</v>
      </c>
      <c r="K9" s="3">
        <f t="shared" si="5"/>
        <v>0.472862129</v>
      </c>
    </row>
    <row r="10" ht="15.75" customHeight="1">
      <c r="F10" s="3">
        <f t="shared" si="6"/>
        <v>6</v>
      </c>
      <c r="G10" s="3">
        <f t="shared" si="1"/>
        <v>8145060</v>
      </c>
      <c r="H10" s="3">
        <f t="shared" si="2"/>
        <v>0.000001</v>
      </c>
      <c r="I10" s="3">
        <f t="shared" si="3"/>
        <v>0.01642320327</v>
      </c>
      <c r="J10" s="4">
        <f t="shared" si="4"/>
        <v>0.133767976</v>
      </c>
      <c r="K10" s="3">
        <f t="shared" si="5"/>
        <v>0.2922753614</v>
      </c>
    </row>
    <row r="11" ht="15.75" customHeight="1">
      <c r="F11" s="3">
        <f t="shared" si="6"/>
        <v>7</v>
      </c>
      <c r="G11" s="3">
        <f t="shared" si="1"/>
        <v>45379620</v>
      </c>
      <c r="H11" s="3">
        <f t="shared" si="2"/>
        <v>0.0000001</v>
      </c>
      <c r="I11" s="3">
        <f t="shared" si="3"/>
        <v>0.01824800363</v>
      </c>
      <c r="J11" s="4">
        <f t="shared" si="4"/>
        <v>0.08280874706</v>
      </c>
      <c r="K11" s="3">
        <f t="shared" si="5"/>
        <v>0.1585073854</v>
      </c>
    </row>
    <row r="12" ht="15.75" customHeight="1">
      <c r="F12" s="3">
        <f t="shared" si="6"/>
        <v>8</v>
      </c>
      <c r="G12" s="3">
        <f t="shared" si="1"/>
        <v>215553195</v>
      </c>
      <c r="H12" s="3">
        <f t="shared" si="2"/>
        <v>0.00000001</v>
      </c>
      <c r="I12" s="3">
        <f t="shared" si="3"/>
        <v>0.02027555959</v>
      </c>
      <c r="J12" s="4">
        <f t="shared" si="4"/>
        <v>0.0437046165</v>
      </c>
      <c r="K12" s="3">
        <f t="shared" si="5"/>
        <v>0.07569863834</v>
      </c>
    </row>
    <row r="13" ht="15.75" customHeight="1">
      <c r="F13" s="3">
        <f t="shared" si="6"/>
        <v>9</v>
      </c>
      <c r="G13" s="3">
        <f t="shared" si="1"/>
        <v>886163135</v>
      </c>
      <c r="H13" s="3">
        <f t="shared" si="2"/>
        <v>0.000000001</v>
      </c>
      <c r="I13" s="3">
        <f t="shared" si="3"/>
        <v>0.02252839954</v>
      </c>
      <c r="J13" s="4">
        <f t="shared" si="4"/>
        <v>0.01996383717</v>
      </c>
      <c r="K13" s="3">
        <f t="shared" si="5"/>
        <v>0.03199402184</v>
      </c>
    </row>
    <row r="14" ht="15.75" customHeight="1">
      <c r="F14" s="3">
        <f t="shared" si="6"/>
        <v>10</v>
      </c>
      <c r="G14" s="3">
        <f t="shared" si="1"/>
        <v>3190187286</v>
      </c>
      <c r="H14" s="3">
        <f t="shared" si="2"/>
        <v>0.0000000001</v>
      </c>
      <c r="I14" s="3">
        <f t="shared" si="3"/>
        <v>0.02503155505</v>
      </c>
      <c r="J14" s="4">
        <f t="shared" si="4"/>
        <v>0.007985534867</v>
      </c>
      <c r="K14" s="3">
        <f t="shared" si="5"/>
        <v>0.01203018467</v>
      </c>
    </row>
    <row r="15" ht="15.75" customHeight="1">
      <c r="F15" s="3">
        <f t="shared" si="6"/>
        <v>11</v>
      </c>
      <c r="G15" s="3">
        <f t="shared" si="1"/>
        <v>10150595910</v>
      </c>
      <c r="H15" s="3">
        <f t="shared" si="2"/>
        <v>0</v>
      </c>
      <c r="I15" s="3">
        <f t="shared" si="3"/>
        <v>0.02781283894</v>
      </c>
      <c r="J15" s="4">
        <f t="shared" si="4"/>
        <v>0.002823168892</v>
      </c>
      <c r="K15" s="5">
        <f t="shared" si="5"/>
        <v>0.004044649808</v>
      </c>
    </row>
    <row r="16" ht="15.75" customHeight="1">
      <c r="F16" s="3">
        <f t="shared" si="6"/>
        <v>12</v>
      </c>
      <c r="G16" s="3">
        <f t="shared" si="1"/>
        <v>28760021745</v>
      </c>
      <c r="H16" s="3">
        <f t="shared" si="2"/>
        <v>0</v>
      </c>
      <c r="I16" s="3">
        <f t="shared" si="3"/>
        <v>0.03090315438</v>
      </c>
      <c r="J16" s="4">
        <f t="shared" si="4"/>
        <v>0.000888775392</v>
      </c>
      <c r="K16" s="3">
        <f t="shared" si="5"/>
        <v>0.001221480915</v>
      </c>
    </row>
    <row r="17" ht="15.75" customHeight="1">
      <c r="F17" s="3">
        <f t="shared" si="6"/>
        <v>13</v>
      </c>
      <c r="G17" s="3">
        <f t="shared" si="1"/>
        <v>73006209045</v>
      </c>
      <c r="H17" s="3">
        <f t="shared" si="2"/>
        <v>0</v>
      </c>
      <c r="I17" s="3">
        <f t="shared" si="3"/>
        <v>0.0343368382</v>
      </c>
      <c r="J17" s="4">
        <f t="shared" si="4"/>
        <v>0.0002506802388</v>
      </c>
      <c r="K17" s="3">
        <f t="shared" si="5"/>
        <v>0.0003327055233</v>
      </c>
    </row>
    <row r="18" ht="15.75" customHeight="1">
      <c r="F18" s="3">
        <f t="shared" si="6"/>
        <v>14</v>
      </c>
      <c r="G18" s="3">
        <f t="shared" si="1"/>
        <v>166871334960</v>
      </c>
      <c r="H18" s="3">
        <f t="shared" si="2"/>
        <v>0</v>
      </c>
      <c r="I18" s="3">
        <f t="shared" si="3"/>
        <v>0.03815204245</v>
      </c>
      <c r="J18" s="4">
        <f t="shared" si="4"/>
        <v>0.00006366482255</v>
      </c>
      <c r="K18" s="3">
        <f t="shared" si="5"/>
        <v>0.00008202528452</v>
      </c>
    </row>
    <row r="19" ht="15.75" customHeight="1">
      <c r="F19" s="3">
        <f t="shared" si="6"/>
        <v>15</v>
      </c>
      <c r="G19" s="3">
        <f t="shared" si="1"/>
        <v>344867425584</v>
      </c>
      <c r="H19" s="3">
        <f t="shared" si="2"/>
        <v>0</v>
      </c>
      <c r="I19" s="3">
        <f t="shared" si="3"/>
        <v>0.04239115828</v>
      </c>
      <c r="J19" s="4">
        <f t="shared" si="4"/>
        <v>0.00001461932962</v>
      </c>
      <c r="K19" s="3">
        <f t="shared" si="5"/>
        <v>0.00001836046197</v>
      </c>
    </row>
    <row r="20" ht="15.75" customHeight="1">
      <c r="F20" s="3">
        <f t="shared" si="6"/>
        <v>16</v>
      </c>
      <c r="G20" s="3">
        <f t="shared" si="1"/>
        <v>646626422970</v>
      </c>
      <c r="H20" s="3">
        <f t="shared" si="2"/>
        <v>0</v>
      </c>
      <c r="I20" s="3">
        <f t="shared" si="3"/>
        <v>0.04710128697</v>
      </c>
      <c r="J20" s="4">
        <f t="shared" si="4"/>
        <v>0.000003045693671</v>
      </c>
      <c r="K20" s="3">
        <f t="shared" si="5"/>
        <v>0.000003741132353</v>
      </c>
    </row>
    <row r="21" ht="15.75" customHeight="1">
      <c r="F21" s="3">
        <f t="shared" si="6"/>
        <v>17</v>
      </c>
      <c r="G21" s="3">
        <f t="shared" si="1"/>
        <v>1103068603890</v>
      </c>
      <c r="H21" s="3">
        <f t="shared" si="2"/>
        <v>0</v>
      </c>
      <c r="I21" s="3">
        <f t="shared" si="3"/>
        <v>0.0523347633</v>
      </c>
      <c r="J21" s="4">
        <f t="shared" si="4"/>
        <v>0.0000005772883429</v>
      </c>
      <c r="K21" s="3">
        <f t="shared" si="5"/>
        <v>0.0000006954386816</v>
      </c>
    </row>
    <row r="22" ht="15.75" customHeight="1">
      <c r="F22" s="3">
        <f t="shared" si="6"/>
        <v>18</v>
      </c>
      <c r="G22" s="3">
        <f t="shared" si="1"/>
        <v>1715884494940</v>
      </c>
      <c r="H22" s="3">
        <f t="shared" si="2"/>
        <v>0</v>
      </c>
      <c r="I22" s="3">
        <f t="shared" si="3"/>
        <v>0.058149737</v>
      </c>
      <c r="J22" s="4">
        <f t="shared" si="4"/>
        <v>0.00000009977823211</v>
      </c>
      <c r="K22" s="3">
        <f t="shared" si="5"/>
        <v>0.0000001181503387</v>
      </c>
    </row>
    <row r="23" ht="15.75" customHeight="1">
      <c r="F23" s="3">
        <f t="shared" si="6"/>
        <v>19</v>
      </c>
      <c r="G23" s="3">
        <f t="shared" si="1"/>
        <v>2438362177020</v>
      </c>
      <c r="H23" s="3">
        <f t="shared" si="2"/>
        <v>0</v>
      </c>
      <c r="I23" s="3">
        <f t="shared" si="3"/>
        <v>0.06461081889</v>
      </c>
      <c r="J23" s="4">
        <f t="shared" si="4"/>
        <v>0.0000000157544577</v>
      </c>
      <c r="K23" s="3">
        <f t="shared" si="5"/>
        <v>0.00000001837210661</v>
      </c>
    </row>
    <row r="24" ht="15.75" customHeight="1">
      <c r="F24" s="3">
        <f t="shared" si="6"/>
        <v>20</v>
      </c>
      <c r="G24" s="3">
        <f t="shared" si="1"/>
        <v>3169870830126</v>
      </c>
      <c r="H24" s="3">
        <f t="shared" si="2"/>
        <v>0</v>
      </c>
      <c r="I24" s="3">
        <f t="shared" si="3"/>
        <v>0.07178979877</v>
      </c>
      <c r="J24" s="4">
        <f t="shared" si="4"/>
        <v>0.00000000227564389</v>
      </c>
      <c r="K24" s="3">
        <f t="shared" si="5"/>
        <v>0.000000002617648875</v>
      </c>
    </row>
    <row r="25" ht="15.75" customHeight="1">
      <c r="F25" s="3">
        <f t="shared" si="6"/>
        <v>21</v>
      </c>
      <c r="G25" s="3">
        <f t="shared" si="1"/>
        <v>3773655750150</v>
      </c>
      <c r="H25" s="3">
        <f t="shared" si="2"/>
        <v>0</v>
      </c>
      <c r="I25" s="3">
        <f t="shared" si="3"/>
        <v>0.07976644308</v>
      </c>
      <c r="J25" s="4">
        <f t="shared" si="4"/>
        <v>0.0000000003010110966</v>
      </c>
      <c r="K25" s="3">
        <f t="shared" si="5"/>
        <v>0.0000000003420049799</v>
      </c>
    </row>
    <row r="26" ht="15.75" customHeight="1">
      <c r="F26" s="3">
        <f t="shared" si="6"/>
        <v>22</v>
      </c>
      <c r="G26" s="3">
        <f t="shared" si="1"/>
        <v>4116715363800</v>
      </c>
      <c r="H26" s="3">
        <f t="shared" si="2"/>
        <v>0</v>
      </c>
      <c r="I26" s="3">
        <f t="shared" si="3"/>
        <v>0.0886293812</v>
      </c>
      <c r="J26" s="4">
        <f t="shared" si="4"/>
        <v>0</v>
      </c>
      <c r="K26" s="3">
        <f t="shared" si="5"/>
        <v>0</v>
      </c>
    </row>
    <row r="27" ht="15.75" customHeight="1">
      <c r="F27" s="3">
        <f t="shared" si="6"/>
        <v>23</v>
      </c>
      <c r="G27" s="3">
        <f t="shared" si="1"/>
        <v>4116715363800</v>
      </c>
      <c r="H27" s="3">
        <f t="shared" si="2"/>
        <v>0</v>
      </c>
      <c r="I27" s="3">
        <f t="shared" si="3"/>
        <v>0.09847709022</v>
      </c>
      <c r="J27" s="4">
        <f t="shared" si="4"/>
        <v>0</v>
      </c>
      <c r="K27" s="3">
        <f t="shared" si="5"/>
        <v>0</v>
      </c>
    </row>
    <row r="28" ht="15.75" customHeight="1">
      <c r="F28" s="3">
        <f t="shared" si="6"/>
        <v>24</v>
      </c>
      <c r="G28" s="3">
        <f t="shared" si="1"/>
        <v>3773655750150</v>
      </c>
      <c r="H28" s="3">
        <f t="shared" si="2"/>
        <v>0</v>
      </c>
      <c r="I28" s="3">
        <f t="shared" si="3"/>
        <v>0.1094189891</v>
      </c>
      <c r="J28" s="4">
        <f t="shared" si="4"/>
        <v>0</v>
      </c>
      <c r="K28" s="3">
        <f t="shared" si="5"/>
        <v>0</v>
      </c>
    </row>
    <row r="29" ht="15.75" customHeight="1">
      <c r="F29" s="3">
        <f t="shared" si="6"/>
        <v>25</v>
      </c>
      <c r="G29" s="3">
        <f t="shared" si="1"/>
        <v>3169870830126</v>
      </c>
      <c r="H29" s="3">
        <f t="shared" si="2"/>
        <v>0</v>
      </c>
      <c r="I29" s="3">
        <f t="shared" si="3"/>
        <v>0.1215766546</v>
      </c>
      <c r="J29" s="4">
        <f t="shared" si="4"/>
        <v>0</v>
      </c>
      <c r="K29" s="3">
        <f t="shared" si="5"/>
        <v>0</v>
      </c>
    </row>
    <row r="30" ht="15.75" customHeight="1">
      <c r="F30" s="3">
        <f t="shared" si="6"/>
        <v>26</v>
      </c>
      <c r="G30" s="3">
        <f t="shared" si="1"/>
        <v>2438362177020</v>
      </c>
      <c r="H30" s="3">
        <f t="shared" si="2"/>
        <v>0</v>
      </c>
      <c r="I30" s="3">
        <f t="shared" si="3"/>
        <v>0.1350851718</v>
      </c>
      <c r="J30" s="4">
        <f t="shared" si="4"/>
        <v>0</v>
      </c>
      <c r="K30" s="3">
        <f t="shared" si="5"/>
        <v>0</v>
      </c>
    </row>
    <row r="31" ht="15.75" customHeight="1">
      <c r="F31" s="3">
        <f t="shared" si="6"/>
        <v>27</v>
      </c>
      <c r="G31" s="3">
        <f t="shared" si="1"/>
        <v>1715884494940</v>
      </c>
      <c r="H31" s="3">
        <f t="shared" si="2"/>
        <v>0</v>
      </c>
      <c r="I31" s="3">
        <f t="shared" si="3"/>
        <v>0.1500946353</v>
      </c>
      <c r="J31" s="4">
        <f t="shared" si="4"/>
        <v>0</v>
      </c>
      <c r="K31" s="3">
        <f t="shared" si="5"/>
        <v>0</v>
      </c>
    </row>
    <row r="32" ht="15.75" customHeight="1">
      <c r="F32" s="3">
        <f t="shared" si="6"/>
        <v>28</v>
      </c>
      <c r="G32" s="3">
        <f t="shared" si="1"/>
        <v>1103068603890</v>
      </c>
      <c r="H32" s="3">
        <f t="shared" si="2"/>
        <v>0</v>
      </c>
      <c r="I32" s="3">
        <f t="shared" si="3"/>
        <v>0.166771817</v>
      </c>
      <c r="J32" s="4">
        <f t="shared" si="4"/>
        <v>0</v>
      </c>
      <c r="K32" s="3">
        <f t="shared" si="5"/>
        <v>0</v>
      </c>
    </row>
    <row r="33" ht="15.75" customHeight="1">
      <c r="F33" s="3">
        <f t="shared" si="6"/>
        <v>29</v>
      </c>
      <c r="G33" s="3">
        <f t="shared" si="1"/>
        <v>646626422970</v>
      </c>
      <c r="H33" s="3">
        <f t="shared" si="2"/>
        <v>0</v>
      </c>
      <c r="I33" s="3">
        <f t="shared" si="3"/>
        <v>0.1853020189</v>
      </c>
      <c r="J33" s="4">
        <f t="shared" si="4"/>
        <v>0</v>
      </c>
      <c r="K33" s="3">
        <f t="shared" si="5"/>
        <v>0</v>
      </c>
    </row>
    <row r="34" ht="15.75" customHeight="1">
      <c r="F34" s="3">
        <f t="shared" si="6"/>
        <v>30</v>
      </c>
      <c r="G34" s="3">
        <f t="shared" si="1"/>
        <v>344867425584</v>
      </c>
      <c r="H34" s="3">
        <f t="shared" si="2"/>
        <v>0</v>
      </c>
      <c r="I34" s="3">
        <f t="shared" si="3"/>
        <v>0.2058911321</v>
      </c>
      <c r="J34" s="4">
        <f t="shared" si="4"/>
        <v>0</v>
      </c>
      <c r="K34" s="3">
        <f t="shared" si="5"/>
        <v>0</v>
      </c>
    </row>
    <row r="35" ht="15.75" customHeight="1">
      <c r="F35" s="3">
        <f t="shared" si="6"/>
        <v>31</v>
      </c>
      <c r="G35" s="3">
        <f t="shared" si="1"/>
        <v>166871334960</v>
      </c>
      <c r="H35" s="3">
        <f t="shared" si="2"/>
        <v>0</v>
      </c>
      <c r="I35" s="3">
        <f t="shared" si="3"/>
        <v>0.2287679245</v>
      </c>
      <c r="J35" s="4">
        <f t="shared" si="4"/>
        <v>0</v>
      </c>
      <c r="K35" s="3">
        <f t="shared" si="5"/>
        <v>0</v>
      </c>
    </row>
    <row r="36" ht="15.75" customHeight="1">
      <c r="F36" s="3">
        <f t="shared" si="6"/>
        <v>32</v>
      </c>
      <c r="G36" s="3">
        <f t="shared" si="1"/>
        <v>73006209045</v>
      </c>
      <c r="H36" s="3">
        <f t="shared" si="2"/>
        <v>0</v>
      </c>
      <c r="I36" s="3">
        <f t="shared" si="3"/>
        <v>0.2541865828</v>
      </c>
      <c r="J36" s="4">
        <f t="shared" si="4"/>
        <v>0</v>
      </c>
      <c r="K36" s="3">
        <f t="shared" si="5"/>
        <v>0</v>
      </c>
    </row>
    <row r="37" ht="15.75" customHeight="1">
      <c r="F37" s="3">
        <f t="shared" si="6"/>
        <v>33</v>
      </c>
      <c r="G37" s="3">
        <f t="shared" si="1"/>
        <v>28760021745</v>
      </c>
      <c r="H37" s="3">
        <f t="shared" si="2"/>
        <v>0</v>
      </c>
      <c r="I37" s="3">
        <f t="shared" si="3"/>
        <v>0.2824295365</v>
      </c>
      <c r="J37" s="4">
        <f t="shared" si="4"/>
        <v>0</v>
      </c>
      <c r="K37" s="3">
        <f t="shared" si="5"/>
        <v>0</v>
      </c>
    </row>
    <row r="38" ht="15.75" customHeight="1">
      <c r="F38" s="3">
        <f t="shared" si="6"/>
        <v>34</v>
      </c>
      <c r="G38" s="3">
        <f t="shared" si="1"/>
        <v>10150595910</v>
      </c>
      <c r="H38" s="3">
        <f t="shared" si="2"/>
        <v>0</v>
      </c>
      <c r="I38" s="3">
        <f t="shared" si="3"/>
        <v>0.3138105961</v>
      </c>
      <c r="J38" s="4">
        <f t="shared" si="4"/>
        <v>0</v>
      </c>
      <c r="K38" s="3">
        <f t="shared" si="5"/>
        <v>0</v>
      </c>
    </row>
    <row r="39" ht="15.75" customHeight="1">
      <c r="F39" s="3">
        <f t="shared" si="6"/>
        <v>35</v>
      </c>
      <c r="G39" s="3">
        <f t="shared" si="1"/>
        <v>3190187286</v>
      </c>
      <c r="H39" s="3">
        <f t="shared" si="2"/>
        <v>0</v>
      </c>
      <c r="I39" s="3">
        <f t="shared" si="3"/>
        <v>0.3486784401</v>
      </c>
      <c r="J39" s="4">
        <f t="shared" si="4"/>
        <v>0</v>
      </c>
      <c r="K39" s="3">
        <f t="shared" si="5"/>
        <v>0</v>
      </c>
    </row>
    <row r="40" ht="15.75" customHeight="1">
      <c r="F40" s="3">
        <f t="shared" si="6"/>
        <v>36</v>
      </c>
      <c r="G40" s="3">
        <f t="shared" si="1"/>
        <v>886163135</v>
      </c>
      <c r="H40" s="3">
        <f t="shared" si="2"/>
        <v>0</v>
      </c>
      <c r="I40" s="3">
        <f t="shared" si="3"/>
        <v>0.387420489</v>
      </c>
      <c r="J40" s="4">
        <f t="shared" si="4"/>
        <v>0</v>
      </c>
      <c r="K40" s="3">
        <f t="shared" si="5"/>
        <v>0</v>
      </c>
    </row>
    <row r="41" ht="15.75" customHeight="1">
      <c r="F41" s="3">
        <f t="shared" si="6"/>
        <v>37</v>
      </c>
      <c r="G41" s="3">
        <f t="shared" si="1"/>
        <v>215553195</v>
      </c>
      <c r="H41" s="3">
        <f t="shared" si="2"/>
        <v>0</v>
      </c>
      <c r="I41" s="3">
        <f t="shared" si="3"/>
        <v>0.43046721</v>
      </c>
      <c r="J41" s="4">
        <f t="shared" si="4"/>
        <v>0</v>
      </c>
      <c r="K41" s="3">
        <f t="shared" si="5"/>
        <v>0</v>
      </c>
    </row>
    <row r="42" ht="15.75" customHeight="1">
      <c r="F42" s="3">
        <f t="shared" si="6"/>
        <v>38</v>
      </c>
      <c r="G42" s="3">
        <f t="shared" si="1"/>
        <v>45379620</v>
      </c>
      <c r="H42" s="3">
        <f t="shared" si="2"/>
        <v>0</v>
      </c>
      <c r="I42" s="3">
        <f t="shared" si="3"/>
        <v>0.4782969</v>
      </c>
      <c r="J42" s="4">
        <f t="shared" si="4"/>
        <v>0</v>
      </c>
      <c r="K42" s="3">
        <f t="shared" si="5"/>
        <v>0</v>
      </c>
    </row>
    <row r="43" ht="15.75" customHeight="1">
      <c r="F43" s="3">
        <f t="shared" si="6"/>
        <v>39</v>
      </c>
      <c r="G43" s="3">
        <f t="shared" si="1"/>
        <v>8145060</v>
      </c>
      <c r="H43" s="3">
        <f t="shared" si="2"/>
        <v>0</v>
      </c>
      <c r="I43" s="3">
        <f t="shared" si="3"/>
        <v>0.531441</v>
      </c>
      <c r="J43" s="4">
        <f t="shared" si="4"/>
        <v>0</v>
      </c>
      <c r="K43" s="3">
        <f t="shared" si="5"/>
        <v>0</v>
      </c>
    </row>
    <row r="44" ht="15.75" customHeight="1">
      <c r="F44" s="3">
        <f t="shared" si="6"/>
        <v>40</v>
      </c>
      <c r="G44" s="3">
        <f t="shared" si="1"/>
        <v>1221759</v>
      </c>
      <c r="H44" s="3">
        <f t="shared" si="2"/>
        <v>0</v>
      </c>
      <c r="I44" s="3">
        <f t="shared" si="3"/>
        <v>0.59049</v>
      </c>
      <c r="J44" s="4">
        <f t="shared" si="4"/>
        <v>0</v>
      </c>
      <c r="K44" s="3">
        <f t="shared" si="5"/>
        <v>0</v>
      </c>
    </row>
    <row r="45" ht="15.75" customHeight="1">
      <c r="F45" s="3">
        <f t="shared" si="6"/>
        <v>41</v>
      </c>
      <c r="G45" s="3">
        <f t="shared" si="1"/>
        <v>148995</v>
      </c>
      <c r="H45" s="3">
        <f t="shared" si="2"/>
        <v>0</v>
      </c>
      <c r="I45" s="3">
        <f t="shared" si="3"/>
        <v>0.6561</v>
      </c>
      <c r="J45" s="4">
        <f t="shared" si="4"/>
        <v>0</v>
      </c>
      <c r="K45" s="3">
        <f t="shared" si="5"/>
        <v>0</v>
      </c>
    </row>
    <row r="46" ht="15.75" customHeight="1">
      <c r="F46" s="3">
        <f t="shared" si="6"/>
        <v>42</v>
      </c>
      <c r="G46" s="3">
        <f t="shared" si="1"/>
        <v>14190</v>
      </c>
      <c r="H46" s="3">
        <f t="shared" si="2"/>
        <v>0</v>
      </c>
      <c r="I46" s="3">
        <f t="shared" si="3"/>
        <v>0.729</v>
      </c>
      <c r="J46" s="4">
        <f t="shared" si="4"/>
        <v>0</v>
      </c>
      <c r="K46" s="3">
        <f t="shared" si="5"/>
        <v>0</v>
      </c>
    </row>
    <row r="47" ht="15.75" customHeight="1">
      <c r="F47" s="3">
        <f t="shared" si="6"/>
        <v>43</v>
      </c>
      <c r="G47" s="3">
        <f t="shared" si="1"/>
        <v>990</v>
      </c>
      <c r="H47" s="3">
        <f t="shared" si="2"/>
        <v>0</v>
      </c>
      <c r="I47" s="3">
        <f t="shared" si="3"/>
        <v>0.81</v>
      </c>
      <c r="J47" s="4">
        <f t="shared" si="4"/>
        <v>0</v>
      </c>
      <c r="K47" s="3">
        <f t="shared" si="5"/>
        <v>0</v>
      </c>
    </row>
    <row r="48" ht="15.75" customHeight="1">
      <c r="F48" s="3">
        <f t="shared" si="6"/>
        <v>44</v>
      </c>
      <c r="G48" s="3">
        <f t="shared" si="1"/>
        <v>45</v>
      </c>
      <c r="H48" s="3">
        <f t="shared" si="2"/>
        <v>0</v>
      </c>
      <c r="I48" s="3">
        <f t="shared" si="3"/>
        <v>0.9</v>
      </c>
      <c r="J48" s="4">
        <f t="shared" si="4"/>
        <v>0</v>
      </c>
      <c r="K48" s="3">
        <f t="shared" si="5"/>
        <v>0</v>
      </c>
    </row>
    <row r="49" ht="15.75" customHeight="1">
      <c r="F49" s="3">
        <f t="shared" si="6"/>
        <v>45</v>
      </c>
      <c r="G49" s="3">
        <f t="shared" si="1"/>
        <v>1</v>
      </c>
      <c r="H49" s="3">
        <f t="shared" si="2"/>
        <v>0</v>
      </c>
      <c r="I49" s="3">
        <f t="shared" si="3"/>
        <v>1</v>
      </c>
      <c r="J49" s="4">
        <f t="shared" si="4"/>
        <v>0</v>
      </c>
      <c r="K49" s="3">
        <f t="shared" si="5"/>
        <v>0</v>
      </c>
    </row>
    <row r="50" ht="15.75" customHeight="1">
      <c r="F50" s="3">
        <f t="shared" si="6"/>
        <v>46</v>
      </c>
      <c r="G50" s="3" t="str">
        <f t="shared" si="1"/>
        <v>#NUM!</v>
      </c>
      <c r="H50" s="3">
        <f t="shared" si="2"/>
        <v>0</v>
      </c>
      <c r="I50" s="3">
        <f t="shared" si="3"/>
        <v>1.111111111</v>
      </c>
      <c r="J50" s="4" t="str">
        <f t="shared" si="4"/>
        <v>#NUM!</v>
      </c>
      <c r="K50" s="3">
        <f t="shared" si="5"/>
        <v>0</v>
      </c>
    </row>
    <row r="51" ht="15.75" customHeight="1">
      <c r="F51" s="3">
        <f t="shared" si="6"/>
        <v>47</v>
      </c>
      <c r="G51" s="3" t="str">
        <f t="shared" si="1"/>
        <v>#NUM!</v>
      </c>
      <c r="H51" s="3">
        <f t="shared" si="2"/>
        <v>0</v>
      </c>
      <c r="I51" s="3">
        <f t="shared" si="3"/>
        <v>1.234567901</v>
      </c>
      <c r="J51" s="4" t="str">
        <f t="shared" si="4"/>
        <v>#NUM!</v>
      </c>
      <c r="K51" s="3" t="str">
        <f t="shared" si="5"/>
        <v>#NUM!</v>
      </c>
    </row>
    <row r="52" ht="15.75" customHeight="1">
      <c r="F52" s="3">
        <f t="shared" si="6"/>
        <v>48</v>
      </c>
      <c r="G52" s="3" t="str">
        <f t="shared" si="1"/>
        <v>#NUM!</v>
      </c>
      <c r="H52" s="3">
        <f t="shared" si="2"/>
        <v>0</v>
      </c>
      <c r="I52" s="3">
        <f t="shared" si="3"/>
        <v>1.371742112</v>
      </c>
      <c r="J52" s="4" t="str">
        <f t="shared" si="4"/>
        <v>#NUM!</v>
      </c>
      <c r="K52" s="3" t="str">
        <f t="shared" si="5"/>
        <v>#NUM!</v>
      </c>
    </row>
    <row r="53" ht="15.75" customHeight="1">
      <c r="F53" s="3">
        <f t="shared" si="6"/>
        <v>49</v>
      </c>
      <c r="G53" s="3" t="str">
        <f t="shared" si="1"/>
        <v>#NUM!</v>
      </c>
      <c r="H53" s="3">
        <f t="shared" si="2"/>
        <v>0</v>
      </c>
      <c r="I53" s="3">
        <f t="shared" si="3"/>
        <v>1.524157903</v>
      </c>
      <c r="J53" s="4" t="str">
        <f t="shared" si="4"/>
        <v>#NUM!</v>
      </c>
      <c r="K53" s="3" t="str">
        <f t="shared" si="5"/>
        <v>#NUM!</v>
      </c>
    </row>
    <row r="54" ht="15.75" customHeight="1">
      <c r="F54" s="3">
        <f t="shared" si="6"/>
        <v>50</v>
      </c>
      <c r="G54" s="3" t="str">
        <f t="shared" si="1"/>
        <v>#NUM!</v>
      </c>
      <c r="H54" s="3">
        <f t="shared" si="2"/>
        <v>0</v>
      </c>
      <c r="I54" s="3">
        <f t="shared" si="3"/>
        <v>1.693508781</v>
      </c>
      <c r="J54" s="4" t="str">
        <f t="shared" si="4"/>
        <v>#NUM!</v>
      </c>
      <c r="K54" s="3" t="str">
        <f t="shared" si="5"/>
        <v>#NUM!</v>
      </c>
    </row>
    <row r="55" ht="15.75" customHeight="1">
      <c r="F55" s="3">
        <f t="shared" si="6"/>
        <v>51</v>
      </c>
      <c r="G55" s="3" t="str">
        <f t="shared" si="1"/>
        <v>#NUM!</v>
      </c>
      <c r="H55" s="3">
        <f t="shared" si="2"/>
        <v>0</v>
      </c>
      <c r="I55" s="3">
        <f t="shared" si="3"/>
        <v>1.881676423</v>
      </c>
      <c r="J55" s="4" t="str">
        <f t="shared" si="4"/>
        <v>#NUM!</v>
      </c>
      <c r="K55" s="3" t="str">
        <f t="shared" si="5"/>
        <v>#NUM!</v>
      </c>
    </row>
    <row r="56" ht="15.75" customHeight="1">
      <c r="F56" s="3">
        <f t="shared" si="6"/>
        <v>52</v>
      </c>
      <c r="G56" s="3" t="str">
        <f t="shared" si="1"/>
        <v>#NUM!</v>
      </c>
      <c r="H56" s="3">
        <f t="shared" si="2"/>
        <v>0</v>
      </c>
      <c r="I56" s="3">
        <f t="shared" si="3"/>
        <v>2.090751581</v>
      </c>
      <c r="J56" s="4" t="str">
        <f t="shared" si="4"/>
        <v>#NUM!</v>
      </c>
      <c r="K56" s="3" t="str">
        <f t="shared" si="5"/>
        <v>#NUM!</v>
      </c>
    </row>
    <row r="57" ht="15.75" customHeight="1">
      <c r="F57" s="3">
        <f t="shared" si="6"/>
        <v>53</v>
      </c>
      <c r="G57" s="3" t="str">
        <f t="shared" si="1"/>
        <v>#NUM!</v>
      </c>
      <c r="H57" s="3">
        <f t="shared" si="2"/>
        <v>0</v>
      </c>
      <c r="I57" s="3">
        <f t="shared" si="3"/>
        <v>2.323057313</v>
      </c>
      <c r="J57" s="4" t="str">
        <f t="shared" si="4"/>
        <v>#NUM!</v>
      </c>
      <c r="K57" s="3" t="str">
        <f t="shared" si="5"/>
        <v>#NUM!</v>
      </c>
    </row>
    <row r="58" ht="15.75" customHeight="1">
      <c r="F58" s="3">
        <f t="shared" si="6"/>
        <v>54</v>
      </c>
      <c r="G58" s="3" t="str">
        <f t="shared" si="1"/>
        <v>#NUM!</v>
      </c>
      <c r="H58" s="3">
        <f t="shared" si="2"/>
        <v>0</v>
      </c>
      <c r="I58" s="3">
        <f t="shared" si="3"/>
        <v>2.581174792</v>
      </c>
      <c r="J58" s="4" t="str">
        <f t="shared" si="4"/>
        <v>#NUM!</v>
      </c>
      <c r="K58" s="3" t="str">
        <f t="shared" si="5"/>
        <v>#NUM!</v>
      </c>
    </row>
    <row r="59" ht="15.75" customHeight="1">
      <c r="F59" s="3">
        <f t="shared" si="6"/>
        <v>55</v>
      </c>
      <c r="G59" s="3" t="str">
        <f t="shared" si="1"/>
        <v>#NUM!</v>
      </c>
      <c r="H59" s="3">
        <f t="shared" si="2"/>
        <v>0</v>
      </c>
      <c r="I59" s="3">
        <f t="shared" si="3"/>
        <v>2.867971991</v>
      </c>
      <c r="J59" s="4" t="str">
        <f t="shared" si="4"/>
        <v>#NUM!</v>
      </c>
      <c r="K59" s="3" t="str">
        <f t="shared" si="5"/>
        <v>#NUM!</v>
      </c>
    </row>
    <row r="60" ht="15.75" customHeight="1">
      <c r="F60" s="3">
        <f t="shared" si="6"/>
        <v>56</v>
      </c>
      <c r="G60" s="3" t="str">
        <f t="shared" si="1"/>
        <v>#NUM!</v>
      </c>
      <c r="H60" s="3">
        <f t="shared" si="2"/>
        <v>0</v>
      </c>
      <c r="I60" s="3">
        <f t="shared" si="3"/>
        <v>3.186635545</v>
      </c>
      <c r="J60" s="4" t="str">
        <f t="shared" si="4"/>
        <v>#NUM!</v>
      </c>
      <c r="K60" s="3" t="str">
        <f t="shared" si="5"/>
        <v>#NUM!</v>
      </c>
    </row>
    <row r="61" ht="15.75" customHeight="1">
      <c r="F61" s="3">
        <f t="shared" si="6"/>
        <v>57</v>
      </c>
      <c r="G61" s="3" t="str">
        <f t="shared" si="1"/>
        <v>#NUM!</v>
      </c>
      <c r="H61" s="3">
        <f t="shared" si="2"/>
        <v>0</v>
      </c>
      <c r="I61" s="3">
        <f t="shared" si="3"/>
        <v>3.540706161</v>
      </c>
      <c r="J61" s="4" t="str">
        <f t="shared" si="4"/>
        <v>#NUM!</v>
      </c>
      <c r="K61" s="3" t="str">
        <f t="shared" si="5"/>
        <v>#NUM!</v>
      </c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E9" s="2">
        <v>3.0</v>
      </c>
      <c r="H9" s="2">
        <f>E9+1</f>
        <v>4</v>
      </c>
    </row>
    <row r="10" ht="15.75" customHeight="1">
      <c r="E10" s="2">
        <v>4.0</v>
      </c>
    </row>
    <row r="11" ht="15.75" customHeight="1">
      <c r="E11" s="2">
        <v>40.0</v>
      </c>
    </row>
    <row r="12" ht="15.75" customHeight="1">
      <c r="E12" s="2">
        <v>20.0</v>
      </c>
    </row>
    <row r="13" ht="15.75" customHeight="1"/>
    <row r="14" ht="15.75" customHeight="1">
      <c r="E14" s="2">
        <f>SUM(E9:E12)</f>
        <v>67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D9" s="3" t="s">
        <v>0</v>
      </c>
      <c r="E9" s="3">
        <v>15.0</v>
      </c>
      <c r="F9" s="3">
        <v>20.0</v>
      </c>
      <c r="G9" s="3">
        <v>25.0</v>
      </c>
      <c r="H9" s="3">
        <v>30.0</v>
      </c>
      <c r="I9" s="3">
        <v>35.0</v>
      </c>
      <c r="J9" s="3">
        <v>40.0</v>
      </c>
      <c r="K9" s="3">
        <v>45.0</v>
      </c>
    </row>
    <row r="10" ht="15.75" customHeight="1">
      <c r="D10" s="3" t="s">
        <v>8</v>
      </c>
      <c r="E10" s="6">
        <v>9.2961E-9</v>
      </c>
      <c r="F10" s="6">
        <v>7.08861E-7</v>
      </c>
      <c r="G10" s="7">
        <v>1.1681E-5</v>
      </c>
      <c r="H10" s="5">
        <v>8.907787382128607E-5</v>
      </c>
      <c r="I10" s="3">
        <v>4.242975954492634E-4</v>
      </c>
      <c r="J10" s="3">
        <v>0.0014697224972221035</v>
      </c>
      <c r="K10" s="3">
        <v>0.004044649807675049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